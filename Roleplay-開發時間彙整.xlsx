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開發時間彙整" sheetId="1" state="visible" r:id="rId1"/>
    <sheet name="模組工時分析" sheetId="2" state="visible" r:id="rId2"/>
  </sheets>
  <definedNames>
    <definedName name="_xlnm._FilterDatabase" localSheetId="0" hidden="1">'開發時間彙整'!$A$1:$I$15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C00000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2" fillId="0" borderId="0" applyAlignment="1" pivotButton="0" quotePrefix="0" xfId="0">
      <alignment horizontal="right"/>
    </xf>
    <xf numFmtId="0" fontId="3" fillId="3" borderId="0" pivotButton="0" quotePrefix="0" xfId="0"/>
    <xf numFmtId="0" fontId="4" fillId="2" borderId="0" applyAlignment="1" pivotButton="0" quotePrefix="0" xfId="0">
      <alignment horizontal="center"/>
    </xf>
    <xf numFmtId="164" fontId="0" fillId="0" borderId="0" pivotButton="0" quotePrefix="0" xfId="0"/>
    <xf numFmtId="0" fontId="2" fillId="0" borderId="0" pivotButton="0" quotePrefix="0" xfId="0"/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2" customWidth="1" min="2" max="2"/>
    <col width="12" customWidth="1" min="3" max="3"/>
    <col width="32" customWidth="1" min="4" max="4"/>
    <col width="12" customWidth="1" min="5" max="5"/>
    <col width="12" customWidth="1" min="6" max="6"/>
    <col width="14" customWidth="1" min="7" max="7"/>
    <col width="30" customWidth="1" min="8" max="8"/>
    <col width="32" customWidth="1" min="9" max="9"/>
  </cols>
  <sheetData>
    <row r="1" ht="30" customHeight="1">
      <c r="A1" s="1" t="inlineStr">
        <is>
          <t>編號</t>
        </is>
      </c>
      <c r="B1" s="1" t="inlineStr">
        <is>
          <t>功能名稱</t>
        </is>
      </c>
      <c r="C1" s="1" t="inlineStr">
        <is>
          <t>模組分類</t>
        </is>
      </c>
      <c r="D1" s="1" t="inlineStr">
        <is>
          <t>功能描述</t>
        </is>
      </c>
      <c r="E1" s="1" t="inlineStr">
        <is>
          <t>開始日期</t>
        </is>
      </c>
      <c r="F1" s="1" t="inlineStr">
        <is>
          <t>完成日期</t>
        </is>
      </c>
      <c r="G1" s="1" t="inlineStr">
        <is>
          <t>實際工時（人日）</t>
        </is>
      </c>
      <c r="H1" s="1" t="inlineStr">
        <is>
          <t>產出物 / 涉及檔案</t>
        </is>
      </c>
      <c r="I1" s="1" t="inlineStr">
        <is>
          <t>備註 / 心得</t>
        </is>
      </c>
    </row>
    <row r="2">
      <c r="A2" s="2" t="inlineStr">
        <is>
          <t>F-001</t>
        </is>
      </c>
      <c r="B2" s="2" t="inlineStr">
        <is>
          <t>轉盤生成器基礎架構</t>
        </is>
      </c>
      <c r="C2" s="2" t="inlineStr">
        <is>
          <t>前端</t>
        </is>
      </c>
      <c r="D2" s="2" t="inlineStr">
        <is>
          <t>Vanilla JS 多欄位轉盤動畫引擎，隨機抽取練習情境</t>
        </is>
      </c>
      <c r="E2" s="2" t="inlineStr">
        <is>
          <t>2026/03/13</t>
        </is>
      </c>
      <c r="F2" s="2" t="inlineStr">
        <is>
          <t>2026/03/13</t>
        </is>
      </c>
      <c r="G2" s="2" t="n">
        <v>1</v>
      </c>
      <c r="H2" s="2" t="inlineStr">
        <is>
          <t>index.html, js/spinner.js, js/app.js</t>
        </is>
      </c>
      <c r="I2" s="2" t="inlineStr">
        <is>
          <t>首次提交建立 MVP 框架</t>
        </is>
      </c>
    </row>
    <row r="3">
      <c r="A3" s="2" t="inlineStr">
        <is>
          <t>F-002</t>
        </is>
      </c>
      <c r="B3" s="2" t="inlineStr">
        <is>
          <t>視覺設計（Glassmorphism）</t>
        </is>
      </c>
      <c r="C3" s="2" t="inlineStr">
        <is>
          <t>設計</t>
        </is>
      </c>
      <c r="D3" s="2" t="inlineStr">
        <is>
          <t>玻璃擬態 + 漸層配色 + 轉盤特效</t>
        </is>
      </c>
      <c r="E3" s="2" t="inlineStr">
        <is>
          <t>2026/03/13</t>
        </is>
      </c>
      <c r="F3" s="2" t="inlineStr">
        <is>
          <t>2026/03/13</t>
        </is>
      </c>
      <c r="G3" s="2" t="n">
        <v>0.5</v>
      </c>
      <c r="H3" s="2" t="inlineStr">
        <is>
          <t>css/main.css, css/spinner.css</t>
        </is>
      </c>
      <c r="I3" s="2" t="inlineStr">
        <is>
          <t>與基礎架構同日完成，UI 品質直接拉到 demo-ready</t>
        </is>
      </c>
    </row>
    <row r="4">
      <c r="A4" s="2" t="inlineStr">
        <is>
          <t>F-003</t>
        </is>
      </c>
      <c r="B4" s="2" t="inlineStr">
        <is>
          <t>業務人物 + 產品線轉盤欄</t>
        </is>
      </c>
      <c r="C4" s="2" t="inlineStr">
        <is>
          <t>前端+資料</t>
        </is>
      </c>
      <c r="D4" s="2" t="inlineStr">
        <is>
          <t>新增業務人物（9 人）與產品線（9 種）兩個轉盤欄位</t>
        </is>
      </c>
      <c r="E4" s="2" t="inlineStr">
        <is>
          <t>2026/03/13</t>
        </is>
      </c>
      <c r="F4" s="2" t="inlineStr">
        <is>
          <t>2026/03/13</t>
        </is>
      </c>
      <c r="G4" s="2" t="n">
        <v>0.5</v>
      </c>
      <c r="H4" s="2" t="inlineStr">
        <is>
          <t>js/data.js, js/spinner.js</t>
        </is>
      </c>
      <c r="I4" s="2" t="inlineStr">
        <is>
          <t>讓情境更貼近真實業務場景</t>
        </is>
      </c>
    </row>
    <row r="5">
      <c r="A5" s="2" t="inlineStr">
        <is>
          <t>F-004</t>
        </is>
      </c>
      <c r="B5" s="2" t="inlineStr">
        <is>
          <t>情境資料庫擴充</t>
        </is>
      </c>
      <c r="C5" s="2" t="inlineStr">
        <is>
          <t>資料</t>
        </is>
      </c>
      <c r="D5" s="2" t="inlineStr">
        <is>
          <t>15 產業 × 12 客戶角色 × 40+ 客戶情境 × 20 難題</t>
        </is>
      </c>
      <c r="E5" s="2" t="inlineStr">
        <is>
          <t>2026/03/13</t>
        </is>
      </c>
      <c r="F5" s="2" t="inlineStr">
        <is>
          <t>2026/03/31</t>
        </is>
      </c>
      <c r="G5" s="2" t="n">
        <v>1.5</v>
      </c>
      <c r="H5" s="2" t="inlineStr">
        <is>
          <t>js/data.js</t>
        </is>
      </c>
      <c r="I5" s="2" t="inlineStr">
        <is>
          <t>資料量決定情境豐富度，期間多次微調（移除 Joanna 等）</t>
        </is>
      </c>
    </row>
    <row r="6">
      <c r="A6" s="2" t="inlineStr">
        <is>
          <t>F-005</t>
        </is>
      </c>
      <c r="B6" s="2" t="inlineStr">
        <is>
          <t>AI 角色扮演器（React 版）</t>
        </is>
      </c>
      <c r="C6" s="2" t="inlineStr">
        <is>
          <t>前端+AI</t>
        </is>
      </c>
      <c r="D6" s="2" t="inlineStr">
        <is>
          <t>React + JSX artifact，含對話 UI、評分、教練覆盤</t>
        </is>
      </c>
      <c r="E6" s="2" t="inlineStr">
        <is>
          <t>2026/04/03</t>
        </is>
      </c>
      <c r="F6" s="2" t="inlineStr">
        <is>
          <t>2026/04/03</t>
        </is>
      </c>
      <c r="G6" s="2" t="n">
        <v>2</v>
      </c>
      <c r="H6" s="2" t="inlineStr">
        <is>
          <t>sales-roleplay-trainer.jsx</t>
        </is>
      </c>
      <c r="I6" s="2" t="inlineStr">
        <is>
          <t>進階版主體，整合 Babel 即時編譯</t>
        </is>
      </c>
    </row>
    <row r="7">
      <c r="A7" s="2" t="inlineStr">
        <is>
          <t>F-006</t>
        </is>
      </c>
      <c r="B7" s="2" t="inlineStr">
        <is>
          <t>AI 對話器（HTML 版）+ API Key 管理</t>
        </is>
      </c>
      <c r="C7" s="2" t="inlineStr">
        <is>
          <t>AI 整合</t>
        </is>
      </c>
      <c r="D7" s="2" t="inlineStr">
        <is>
          <t>輕量 HTML 版本，使用者自帶 Claude API key</t>
        </is>
      </c>
      <c r="E7" s="2" t="inlineStr">
        <is>
          <t>2026/04/03</t>
        </is>
      </c>
      <c r="F7" s="2" t="inlineStr">
        <is>
          <t>2026/04/03</t>
        </is>
      </c>
      <c r="G7" s="2" t="n">
        <v>2</v>
      </c>
      <c r="H7" s="2" t="inlineStr">
        <is>
          <t>roleplay-ai.html</t>
        </is>
      </c>
      <c r="I7" s="2" t="inlineStr">
        <is>
          <t>讓任何人都能即開即用，不需後端</t>
        </is>
      </c>
    </row>
    <row r="8">
      <c r="A8" s="2" t="inlineStr">
        <is>
          <t>F-007</t>
        </is>
      </c>
      <c r="B8" s="2" t="inlineStr">
        <is>
          <t>Anthropic Browser Header 修正</t>
        </is>
      </c>
      <c r="C8" s="2" t="inlineStr">
        <is>
          <t>AI 整合</t>
        </is>
      </c>
      <c r="D8" s="2" t="inlineStr">
        <is>
          <t>瀏覽器直連 Claude API 需要的特殊 header</t>
        </is>
      </c>
      <c r="E8" s="2" t="inlineStr">
        <is>
          <t>2026/04/03</t>
        </is>
      </c>
      <c r="F8" s="2" t="inlineStr">
        <is>
          <t>2026/04/03</t>
        </is>
      </c>
      <c r="G8" s="2" t="n">
        <v>0.5</v>
      </c>
      <c r="H8" s="2" t="inlineStr">
        <is>
          <t>roleplay-ai.html</t>
        </is>
      </c>
      <c r="I8" s="2" t="inlineStr">
        <is>
          <t>卡了一陣子才發現是 anthropic-dangerous-direct-browser-access</t>
        </is>
      </c>
    </row>
    <row r="9">
      <c r="A9" s="2" t="inlineStr">
        <is>
          <t>F-008</t>
        </is>
      </c>
      <c r="B9" s="2" t="inlineStr">
        <is>
          <t>移除 Recharts 依賴 + 按鈕樣式</t>
        </is>
      </c>
      <c r="C9" s="2" t="inlineStr">
        <is>
          <t>前端</t>
        </is>
      </c>
      <c r="D9" s="2" t="inlineStr">
        <is>
          <t>拔掉外部 CDN，避免載入失敗；統一按鈕樣式</t>
        </is>
      </c>
      <c r="E9" s="2" t="inlineStr">
        <is>
          <t>2026/04/03</t>
        </is>
      </c>
      <c r="F9" s="2" t="inlineStr">
        <is>
          <t>2026/04/03</t>
        </is>
      </c>
      <c r="G9" s="2" t="n">
        <v>0.5</v>
      </c>
      <c r="H9" s="2" t="inlineStr">
        <is>
          <t>sales-roleplay-trainer.jsx</t>
        </is>
      </c>
      <c r="I9" s="2" t="inlineStr">
        <is>
          <t>減少外部依賴提高穩定性</t>
        </is>
      </c>
    </row>
    <row r="10">
      <c r="A10" s="2" t="inlineStr">
        <is>
          <t>F-009</t>
        </is>
      </c>
      <c r="B10" s="2" t="inlineStr">
        <is>
          <t>教練面板加寬 + 回合計數器</t>
        </is>
      </c>
      <c r="C10" s="2" t="inlineStr">
        <is>
          <t>前端</t>
        </is>
      </c>
      <c r="D10" s="2" t="inlineStr">
        <is>
          <t>覆盤面板顯示空間不夠，調寬並修可見度</t>
        </is>
      </c>
      <c r="E10" s="2" t="inlineStr">
        <is>
          <t>2026/04/03</t>
        </is>
      </c>
      <c r="F10" s="2" t="inlineStr">
        <is>
          <t>2026/04/03</t>
        </is>
      </c>
      <c r="G10" s="2" t="n">
        <v>0.5</v>
      </c>
      <c r="H10" s="2" t="inlineStr">
        <is>
          <t>sales-roleplay-trainer.jsx</t>
        </is>
      </c>
      <c r="I10" s="2" t="inlineStr">
        <is>
          <t>review failure 修復</t>
        </is>
      </c>
    </row>
    <row r="11">
      <c r="A11" s="2" t="inlineStr">
        <is>
          <t>F-010</t>
        </is>
      </c>
      <c r="B11" s="2" t="inlineStr">
        <is>
          <t>上下導覽按鈕 + 欄寬調整</t>
        </is>
      </c>
      <c r="C11" s="2" t="inlineStr">
        <is>
          <t>前端</t>
        </is>
      </c>
      <c r="D11" s="2" t="inlineStr">
        <is>
          <t>每個轉盤欄加上下手動切換按鈕；難度欄加寬</t>
        </is>
      </c>
      <c r="E11" s="2" t="inlineStr">
        <is>
          <t>2026/04/04</t>
        </is>
      </c>
      <c r="F11" s="2" t="inlineStr">
        <is>
          <t>2026/04/04</t>
        </is>
      </c>
      <c r="G11" s="2" t="n">
        <v>0.5</v>
      </c>
      <c r="H11" s="2" t="inlineStr">
        <is>
          <t>js/spinner.js, css/spinner.css</t>
        </is>
      </c>
      <c r="I11" s="2" t="inlineStr">
        <is>
          <t>使用者回饋希望可以手動微調抽到的選項</t>
        </is>
      </c>
    </row>
    <row r="12">
      <c r="A12" s="2" t="inlineStr">
        <is>
          <t>F-011</t>
        </is>
      </c>
      <c r="B12" s="2" t="inlineStr">
        <is>
          <t>AI Trainer 與 Spinner 資料同步</t>
        </is>
      </c>
      <c r="C12" s="2" t="inlineStr">
        <is>
          <t>資料</t>
        </is>
      </c>
      <c r="D12" s="2" t="inlineStr">
        <is>
          <t>兩個版本共用同一份 data.js 避免資料漂移</t>
        </is>
      </c>
      <c r="E12" s="2" t="inlineStr">
        <is>
          <t>2026/04/03</t>
        </is>
      </c>
      <c r="F12" s="2" t="inlineStr">
        <is>
          <t>2026/04/03</t>
        </is>
      </c>
      <c r="G12" s="2" t="n">
        <v>0.5</v>
      </c>
      <c r="H12" s="2" t="inlineStr">
        <is>
          <t>js/data.js</t>
        </is>
      </c>
      <c r="I12" s="2" t="inlineStr">
        <is>
          <t>重構降低維護成本</t>
        </is>
      </c>
    </row>
    <row r="13">
      <c r="A13" s="2" t="inlineStr">
        <is>
          <t>F-012</t>
        </is>
      </c>
      <c r="B13" s="2" t="inlineStr">
        <is>
          <t>雲端情境 + 公有雲環境轉盤</t>
        </is>
      </c>
      <c r="C13" s="2" t="inlineStr">
        <is>
          <t>前端+資料</t>
        </is>
      </c>
      <c r="D13" s="2" t="inlineStr">
        <is>
          <t>新增 AWS / GCP / Azure 環境維度，補齊雲端銷售情境</t>
        </is>
      </c>
      <c r="E13" s="2" t="inlineStr">
        <is>
          <t>2026/04/07</t>
        </is>
      </c>
      <c r="F13" s="2" t="inlineStr">
        <is>
          <t>2026/04/07</t>
        </is>
      </c>
      <c r="G13" s="2" t="n">
        <v>1.5</v>
      </c>
      <c r="H13" s="2" t="inlineStr">
        <is>
          <t>index.html, roleplay-ai.html, js/data.js</t>
        </is>
      </c>
      <c r="I13" s="2" t="inlineStr">
        <is>
          <t>本專案核心競爭力：雲端業務情境練習</t>
        </is>
      </c>
    </row>
    <row r="14">
      <c r="A14" s="2" t="inlineStr">
        <is>
          <t>F-013</t>
        </is>
      </c>
      <c r="B14" s="2" t="inlineStr">
        <is>
          <t>條件式雲端環境顯示</t>
        </is>
      </c>
      <c r="C14" s="2" t="inlineStr">
        <is>
          <t>前端</t>
        </is>
      </c>
      <c r="D14" s="2" t="inlineStr">
        <is>
          <t>只在抽到雲端服務產品時才顯示雲端環境轉盤</t>
        </is>
      </c>
      <c r="E14" s="2" t="inlineStr">
        <is>
          <t>2026/04/07</t>
        </is>
      </c>
      <c r="F14" s="2" t="inlineStr">
        <is>
          <t>2026/04/07</t>
        </is>
      </c>
      <c r="G14" s="2" t="n">
        <v>0.5</v>
      </c>
      <c r="H14" s="2" t="inlineStr">
        <is>
          <t>index.html, js/spinner.js</t>
        </is>
      </c>
      <c r="I14" s="2" t="inlineStr">
        <is>
          <t>避免非雲端產品出現不相關欄位</t>
        </is>
      </c>
    </row>
    <row r="15">
      <c r="A15" s="2" t="inlineStr">
        <is>
          <t>F-014</t>
        </is>
      </c>
      <c r="B15" s="2" t="inlineStr">
        <is>
          <t>轉盤動畫優化 + 落定閃光</t>
        </is>
      </c>
      <c r="C15" s="2" t="inlineStr">
        <is>
          <t>設計</t>
        </is>
      </c>
      <c r="D15" s="2" t="inlineStr">
        <is>
          <t>縮短動畫時間提升節奏感，加入落定瞬間閃光特效</t>
        </is>
      </c>
      <c r="E15" s="2" t="inlineStr">
        <is>
          <t>2026/04/08</t>
        </is>
      </c>
      <c r="F15" s="2" t="inlineStr">
        <is>
          <t>2026/04/08</t>
        </is>
      </c>
      <c r="G15" s="2" t="n">
        <v>0.5</v>
      </c>
      <c r="H15" s="2" t="inlineStr">
        <is>
          <t>css/spinner.css, js/spinner.js</t>
        </is>
      </c>
      <c r="I15" s="2" t="inlineStr">
        <is>
          <t>perf 優化 + 視覺回饋</t>
        </is>
      </c>
    </row>
    <row r="16">
      <c r="F16" s="3" t="inlineStr">
        <is>
          <t>總計</t>
        </is>
      </c>
      <c r="G16" s="4">
        <f>SUM(G2:G15)</f>
        <v/>
      </c>
    </row>
  </sheetData>
  <autoFilter ref="A1:I15"/>
  <dataValidations count="1">
    <dataValidation sqref="C2:C64" showDropDown="0" showInputMessage="0" showErrorMessage="0" allowBlank="1" type="list">
      <formula1>"前端,AI 整合,前端+AI,資料,前端+資料,設計,部署,後端"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6" customWidth="1" min="1" max="1"/>
    <col width="20" customWidth="1" min="2" max="2"/>
    <col width="12" customWidth="1" min="3" max="3"/>
  </cols>
  <sheetData>
    <row r="1">
      <c r="A1" s="5" t="inlineStr">
        <is>
          <t>模組分類</t>
        </is>
      </c>
      <c r="B1" s="5" t="inlineStr">
        <is>
          <t>累計工時（人日）</t>
        </is>
      </c>
      <c r="C1" s="5" t="inlineStr">
        <is>
          <t>佔比</t>
        </is>
      </c>
    </row>
    <row r="2">
      <c r="A2" t="inlineStr">
        <is>
          <t>前端</t>
        </is>
      </c>
      <c r="B2">
        <f>SUMIF('開發時間彙整'!C:C,A2,'開發時間彙整'!G:G)</f>
        <v/>
      </c>
      <c r="C2" s="6">
        <f>IFERROR(B2/SUM($B$2:$B$9),0)</f>
        <v/>
      </c>
    </row>
    <row r="3">
      <c r="A3" t="inlineStr">
        <is>
          <t>AI 整合</t>
        </is>
      </c>
      <c r="B3">
        <f>SUMIF('開發時間彙整'!C:C,A3,'開發時間彙整'!G:G)</f>
        <v/>
      </c>
      <c r="C3" s="6">
        <f>IFERROR(B3/SUM($B$2:$B$9),0)</f>
        <v/>
      </c>
    </row>
    <row r="4">
      <c r="A4" t="inlineStr">
        <is>
          <t>前端+AI</t>
        </is>
      </c>
      <c r="B4">
        <f>SUMIF('開發時間彙整'!C:C,A4,'開發時間彙整'!G:G)</f>
        <v/>
      </c>
      <c r="C4" s="6">
        <f>IFERROR(B4/SUM($B$2:$B$9),0)</f>
        <v/>
      </c>
    </row>
    <row r="5">
      <c r="A5" t="inlineStr">
        <is>
          <t>資料</t>
        </is>
      </c>
      <c r="B5">
        <f>SUMIF('開發時間彙整'!C:C,A5,'開發時間彙整'!G:G)</f>
        <v/>
      </c>
      <c r="C5" s="6">
        <f>IFERROR(B5/SUM($B$2:$B$9),0)</f>
        <v/>
      </c>
    </row>
    <row r="6">
      <c r="A6" t="inlineStr">
        <is>
          <t>前端+資料</t>
        </is>
      </c>
      <c r="B6">
        <f>SUMIF('開發時間彙整'!C:C,A6,'開發時間彙整'!G:G)</f>
        <v/>
      </c>
      <c r="C6" s="6">
        <f>IFERROR(B6/SUM($B$2:$B$9),0)</f>
        <v/>
      </c>
    </row>
    <row r="7">
      <c r="A7" t="inlineStr">
        <is>
          <t>設計</t>
        </is>
      </c>
      <c r="B7">
        <f>SUMIF('開發時間彙整'!C:C,A7,'開發時間彙整'!G:G)</f>
        <v/>
      </c>
      <c r="C7" s="6">
        <f>IFERROR(B7/SUM($B$2:$B$9),0)</f>
        <v/>
      </c>
    </row>
    <row r="8">
      <c r="A8" t="inlineStr">
        <is>
          <t>部署</t>
        </is>
      </c>
      <c r="B8">
        <f>SUMIF('開發時間彙整'!C:C,A8,'開發時間彙整'!G:G)</f>
        <v/>
      </c>
      <c r="C8" s="6">
        <f>IFERROR(B8/SUM($B$2:$B$9),0)</f>
        <v/>
      </c>
    </row>
    <row r="9">
      <c r="A9" t="inlineStr">
        <is>
          <t>後端</t>
        </is>
      </c>
      <c r="B9">
        <f>SUMIF('開發時間彙整'!C:C,A9,'開發時間彙整'!G:G)</f>
        <v/>
      </c>
      <c r="C9" s="6">
        <f>IFERROR(B9/SUM($B$2:$B$9),0)</f>
        <v/>
      </c>
    </row>
    <row r="10">
      <c r="A10" s="7" t="inlineStr">
        <is>
          <t>總計</t>
        </is>
      </c>
      <c r="B10" s="8">
        <f>SUM(B2:B9)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2026-05-08T09:43:45Z</dcterms:created>
  <dcterms:modified xsi:type="dcterms:W3CDTF">2026-05-08T09:43:45Z</dcterms:modified>
</cp:coreProperties>
</file>